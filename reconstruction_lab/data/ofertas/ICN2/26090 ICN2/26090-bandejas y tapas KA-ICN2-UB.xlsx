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DE BARCELONA/26090 UNIV. DE BARCELONA/"/>
    </mc:Choice>
  </mc:AlternateContent>
  <xr:revisionPtr revIDLastSave="0" documentId="8_{A663D28A-C025-455D-9318-C973CECD0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plantillafr!$B$1:$J$72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4" l="1"/>
  <c r="J32" i="4"/>
  <c r="J65" i="4" l="1"/>
  <c r="J66" i="4" s="1"/>
  <c r="J67" i="4" s="1"/>
</calcChain>
</file>

<file path=xl/sharedStrings.xml><?xml version="1.0" encoding="utf-8"?>
<sst xmlns="http://schemas.openxmlformats.org/spreadsheetml/2006/main" count="37" uniqueCount="35">
  <si>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</si>
  <si>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</si>
  <si>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</si>
  <si>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</si>
  <si>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</si>
  <si>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</si>
  <si>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</si>
  <si>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Solicitante:</t>
  </si>
  <si>
    <t>Teléfono:</t>
  </si>
  <si>
    <t xml:space="preserve">Nº Solicitud Cliente  : </t>
  </si>
  <si>
    <t>Fecha:</t>
  </si>
  <si>
    <t>Plano:</t>
  </si>
  <si>
    <t>PLANO</t>
  </si>
  <si>
    <t>NUM.</t>
  </si>
  <si>
    <t>DENOMINACIÓN</t>
  </si>
  <si>
    <t>MATERIAL</t>
  </si>
  <si>
    <t xml:space="preserve">PRECIO/U. </t>
  </si>
  <si>
    <t>TOTAL</t>
  </si>
  <si>
    <t>UDS.</t>
  </si>
  <si>
    <t>KA997</t>
  </si>
  <si>
    <t>Subtotal</t>
  </si>
  <si>
    <t xml:space="preserve">  PLAZO DE ENTREGA : </t>
  </si>
  <si>
    <t xml:space="preserve">  IVA NO INCLUIDO</t>
  </si>
  <si>
    <t xml:space="preserve">  FORMA DE PAGO:           </t>
  </si>
  <si>
    <t>CONDICIONES HABITUALES</t>
  </si>
  <si>
    <t>IVA</t>
  </si>
  <si>
    <t>EN STOCK</t>
  </si>
  <si>
    <t>PORTES</t>
  </si>
  <si>
    <t>OFERTA  26090</t>
  </si>
  <si>
    <t>ICN2 -UNIV. DE BARCELONA</t>
  </si>
  <si>
    <t>Shilpa Mariam Samuel</t>
  </si>
  <si>
    <t>shilpamarian.samuel@icn2.cat</t>
  </si>
  <si>
    <t>BANDEJA KAT-10045</t>
  </si>
  <si>
    <t>3</t>
  </si>
  <si>
    <t>TAPA KAPT-100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</si>
</sst>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4" xfId="0" applyBorder="1"/>
    <xf numFmtId="0" fontId="4" fillId="0" borderId="6" xfId="0" applyFont="1" applyBorder="1"/>
    <xf numFmtId="0" fontId="1" fillId="0" borderId="1" xfId="0" applyFont="1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7" xfId="0" applyFont="1" applyBorder="1"/>
    <xf numFmtId="1" fontId="1" fillId="0" borderId="1" xfId="2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8" xfId="0" applyBorder="1"/>
    <xf numFmtId="167" fontId="0" fillId="0" borderId="10" xfId="0" applyNumberFormat="1" applyBorder="1" applyAlignment="1">
      <alignment horizontal="center"/>
    </xf>
    <xf numFmtId="0" fontId="0" fillId="0" borderId="9" xfId="0" applyBorder="1"/>
    <xf numFmtId="0" fontId="4" fillId="0" borderId="0" xfId="0" applyFont="1" applyAlignment="1">
      <alignment horizontal="right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" fontId="1" fillId="0" borderId="11" xfId="2" applyNumberFormat="1" applyBorder="1"/>
    <xf numFmtId="0" fontId="0" fillId="0" borderId="11" xfId="0" applyBorder="1"/>
    <xf numFmtId="49" fontId="4" fillId="0" borderId="12" xfId="0" applyNumberFormat="1" applyFont="1" applyBorder="1" applyAlignment="1">
      <alignment horizontal="right" vertical="center"/>
    </xf>
    <xf numFmtId="169" fontId="4" fillId="0" borderId="12" xfId="0" applyNumberFormat="1" applyFont="1" applyBorder="1"/>
    <xf numFmtId="0" fontId="1" fillId="0" borderId="9" xfId="0" applyFont="1" applyBorder="1"/>
    <xf numFmtId="0" fontId="1" fillId="0" borderId="0" xfId="0" applyFont="1" applyAlignment="1">
      <alignment horizontal="center" vertical="center"/>
    </xf>
    <xf numFmtId="0" fontId="15" fillId="0" borderId="0" xfId="3" applyAlignment="1" applyProtection="1">
      <alignment vertical="center"/>
    </xf>
    <xf numFmtId="0" fontId="17" fillId="0" borderId="2" xfId="0" applyFont="1" applyBorder="1" applyAlignment="1">
      <alignment vertical="center"/>
    </xf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center" wrapText="1"/>
    </xf>
    <xf numFmtId="2" fontId="16" fillId="0" borderId="10" xfId="0" applyNumberFormat="1" applyFont="1" applyBorder="1" applyAlignment="1">
      <alignment horizontal="center" wrapText="1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200026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ilpamarian.samuel@icn2.ca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1"/>
  <sheetViews>
    <sheetView tabSelected="1" workbookViewId="0">
      <selection activeCell="O27" sqref="O27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4.85546875" customWidth="1"/>
    <col min="4" max="4" width="13" customWidth="1"/>
    <col min="5" max="5" width="10.28515625" customWidth="1"/>
    <col min="6" max="6" width="17.7109375" customWidth="1"/>
    <col min="7" max="7" width="18.7109375" customWidth="1"/>
    <col min="8" max="8" width="13.7109375" customWidth="1"/>
    <col min="9" max="9" width="15.140625" customWidth="1"/>
    <col min="10" max="10" width="12.7109375" customWidth="1"/>
  </cols>
  <sheetData>
    <row r="1" spans="2:16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</row>
    <row r="2" spans="2:16" ht="9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5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106" t="s">
        <v>28</v>
      </c>
      <c r="G6" s="106"/>
      <c r="H6" s="106"/>
      <c r="I6" s="106"/>
      <c r="J6" s="106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31"/>
      <c r="I7" s="31"/>
      <c r="J7" s="15"/>
    </row>
    <row r="8" spans="2:16" ht="11.25" customHeight="1" x14ac:dyDescent="0.2">
      <c r="B8" s="15" t="s">
        <v>2</v>
      </c>
      <c r="D8" s="15"/>
      <c r="E8" s="15"/>
      <c r="F8" s="15"/>
      <c r="G8" s="15"/>
      <c r="H8" s="31"/>
      <c r="I8" s="31"/>
      <c r="J8" s="15"/>
    </row>
    <row r="9" spans="2:16" x14ac:dyDescent="0.2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</row>
    <row r="12" spans="2:16" x14ac:dyDescent="0.2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">
      <c r="B13" s="76" t="s">
        <v>6</v>
      </c>
      <c r="C13" s="77"/>
      <c r="D13" s="61"/>
      <c r="E13" s="61"/>
      <c r="F13" s="60"/>
      <c r="G13" s="80"/>
      <c r="H13" s="60"/>
      <c r="I13" s="60"/>
      <c r="J13" s="87"/>
    </row>
    <row r="14" spans="2:16" x14ac:dyDescent="0.2">
      <c r="B14" s="105" t="s">
        <v>29</v>
      </c>
      <c r="C14" s="2"/>
      <c r="D14" s="2"/>
      <c r="E14" s="35"/>
      <c r="F14" s="35"/>
      <c r="G14" s="44"/>
      <c r="H14" s="44"/>
      <c r="I14" s="44"/>
      <c r="J14" s="88"/>
      <c r="K14" s="35"/>
      <c r="M14" s="14"/>
      <c r="N14" s="7"/>
      <c r="O14" s="7"/>
      <c r="P14" s="7"/>
    </row>
    <row r="15" spans="2:16" ht="12" customHeight="1" x14ac:dyDescent="0.2">
      <c r="B15" s="105"/>
      <c r="C15" s="2"/>
      <c r="D15" s="2"/>
      <c r="F15" s="41"/>
      <c r="G15" s="44"/>
      <c r="H15" s="44"/>
      <c r="I15" s="44"/>
      <c r="J15" s="88"/>
      <c r="K15" s="41"/>
      <c r="M15" s="44"/>
      <c r="N15" s="7"/>
      <c r="O15" s="7"/>
      <c r="P15" s="7"/>
    </row>
    <row r="16" spans="2:16" ht="12" customHeight="1" x14ac:dyDescent="0.2">
      <c r="B16" s="105"/>
      <c r="C16" s="2"/>
      <c r="D16" s="2"/>
      <c r="F16" s="41"/>
      <c r="G16" s="44"/>
      <c r="H16" s="44"/>
      <c r="I16" s="44"/>
      <c r="J16" s="88"/>
      <c r="K16" s="41"/>
      <c r="M16" s="44"/>
      <c r="N16" s="7"/>
      <c r="O16" s="7"/>
      <c r="P16" s="7"/>
    </row>
    <row r="17" spans="2:16" ht="12" customHeight="1" x14ac:dyDescent="0.2">
      <c r="B17" s="105"/>
      <c r="C17" s="2"/>
      <c r="D17" s="2"/>
      <c r="F17" s="41"/>
      <c r="G17" s="44"/>
      <c r="H17" s="44"/>
      <c r="I17" s="44"/>
      <c r="J17" s="88"/>
      <c r="K17" s="41"/>
      <c r="M17" s="44"/>
      <c r="N17" s="7"/>
      <c r="O17" s="7"/>
      <c r="P17" s="7"/>
    </row>
    <row r="18" spans="2:16" ht="12" customHeight="1" x14ac:dyDescent="0.2">
      <c r="B18" s="59"/>
      <c r="C18" s="2"/>
      <c r="D18" s="2"/>
      <c r="E18" s="44"/>
      <c r="F18" s="41"/>
      <c r="G18" s="44"/>
      <c r="H18" s="41"/>
      <c r="I18" s="41"/>
      <c r="J18" s="89"/>
      <c r="K18" s="41"/>
    </row>
    <row r="19" spans="2:16" ht="12" customHeight="1" x14ac:dyDescent="0.2">
      <c r="B19" s="59"/>
      <c r="C19" s="2"/>
      <c r="D19" s="2"/>
      <c r="E19" s="44"/>
      <c r="F19" s="41"/>
      <c r="G19" s="44"/>
      <c r="H19" s="41"/>
      <c r="I19" s="41"/>
      <c r="J19" s="89"/>
      <c r="K19" s="41"/>
    </row>
    <row r="20" spans="2:16" ht="14.25" customHeight="1" x14ac:dyDescent="0.25">
      <c r="B20" s="59" t="s">
        <v>7</v>
      </c>
      <c r="C20" s="44"/>
      <c r="D20" s="44" t="s">
        <v>30</v>
      </c>
      <c r="E20" s="33"/>
      <c r="F20" s="95"/>
      <c r="G20" s="44"/>
      <c r="J20" s="91"/>
      <c r="K20" s="41"/>
    </row>
    <row r="21" spans="2:16" ht="14.25" customHeight="1" x14ac:dyDescent="0.25">
      <c r="B21" s="59"/>
      <c r="C21" s="44"/>
      <c r="D21" s="104" t="s">
        <v>31</v>
      </c>
      <c r="E21" s="33"/>
      <c r="F21" s="41"/>
      <c r="G21" s="14"/>
      <c r="H21" s="2"/>
      <c r="I21" s="44"/>
      <c r="J21" s="91"/>
      <c r="K21" s="41"/>
    </row>
    <row r="22" spans="2:16" ht="15" customHeight="1" x14ac:dyDescent="0.25">
      <c r="B22" s="59" t="s">
        <v>8</v>
      </c>
      <c r="C22" s="41"/>
      <c r="D22" s="44"/>
      <c r="E22" s="34"/>
      <c r="F22" s="41"/>
      <c r="G22" s="14"/>
      <c r="H22" s="44"/>
      <c r="I22" s="46"/>
      <c r="J22" s="89"/>
    </row>
    <row r="23" spans="2:16" ht="14.25" customHeight="1" x14ac:dyDescent="0.2">
      <c r="B23" s="72"/>
      <c r="C23" s="62"/>
      <c r="D23" s="62"/>
      <c r="E23" s="63"/>
      <c r="F23" s="63"/>
      <c r="G23" s="81"/>
      <c r="H23" s="62"/>
      <c r="I23" s="62"/>
      <c r="J23" s="102"/>
    </row>
    <row r="24" spans="2:16" ht="10.5" customHeight="1" x14ac:dyDescent="0.2">
      <c r="B24" s="44"/>
      <c r="C24" s="44"/>
      <c r="D24" s="44"/>
      <c r="E24" s="44"/>
      <c r="F24" s="44"/>
      <c r="G24" s="24"/>
      <c r="H24" s="44"/>
      <c r="I24" s="44"/>
      <c r="J24" s="44"/>
      <c r="K24" s="44"/>
      <c r="L24" s="44"/>
      <c r="M24" s="24"/>
    </row>
    <row r="25" spans="2:16" ht="14.25" x14ac:dyDescent="0.2">
      <c r="B25" s="35"/>
      <c r="C25" s="36"/>
      <c r="D25" s="14"/>
      <c r="E25" s="30"/>
      <c r="F25" s="44"/>
      <c r="G25" s="24"/>
      <c r="H25" s="44"/>
      <c r="I25" s="44"/>
      <c r="J25" s="44"/>
      <c r="K25" s="44"/>
      <c r="L25" s="44"/>
      <c r="M25" s="24"/>
    </row>
    <row r="26" spans="2:16" ht="14.25" x14ac:dyDescent="0.2">
      <c r="B26" s="35" t="s">
        <v>9</v>
      </c>
      <c r="C26" s="36"/>
      <c r="D26" s="46"/>
      <c r="E26" s="41"/>
      <c r="F26" s="32"/>
      <c r="G26" s="35" t="s">
        <v>10</v>
      </c>
      <c r="H26" s="113">
        <v>46291</v>
      </c>
      <c r="I26" s="113"/>
      <c r="J26" s="41"/>
    </row>
    <row r="27" spans="2:16" ht="14.25" x14ac:dyDescent="0.2">
      <c r="B27" s="14"/>
      <c r="C27" s="14"/>
      <c r="D27" s="41"/>
      <c r="E27" s="41"/>
      <c r="F27" s="32"/>
      <c r="G27" s="35" t="s">
        <v>11</v>
      </c>
      <c r="H27" s="78"/>
      <c r="I27" s="49"/>
      <c r="J27" s="41"/>
    </row>
    <row r="28" spans="2:16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6" ht="16.5" customHeight="1" x14ac:dyDescent="0.2">
      <c r="B29" s="64"/>
      <c r="C29" s="111" t="s">
        <v>12</v>
      </c>
      <c r="D29" s="65" t="s">
        <v>13</v>
      </c>
      <c r="E29" s="111" t="s">
        <v>14</v>
      </c>
      <c r="F29" s="111"/>
      <c r="G29" s="111"/>
      <c r="H29" s="96" t="s">
        <v>15</v>
      </c>
      <c r="I29" s="96" t="s">
        <v>16</v>
      </c>
      <c r="J29" s="96" t="s">
        <v>17</v>
      </c>
    </row>
    <row r="30" spans="2:16" x14ac:dyDescent="0.2">
      <c r="B30" s="69"/>
      <c r="C30" s="112"/>
      <c r="D30" s="70" t="s">
        <v>18</v>
      </c>
      <c r="E30" s="112"/>
      <c r="F30" s="112"/>
      <c r="G30" s="112"/>
      <c r="H30" s="97"/>
      <c r="I30" s="97"/>
      <c r="J30" s="97"/>
    </row>
    <row r="31" spans="2:16" x14ac:dyDescent="0.2">
      <c r="B31" s="66"/>
      <c r="C31" s="58"/>
      <c r="D31" s="47"/>
      <c r="E31" s="25"/>
      <c r="F31" s="25"/>
      <c r="G31" s="25"/>
      <c r="H31" s="98"/>
      <c r="I31" s="48"/>
      <c r="J31" s="99"/>
    </row>
    <row r="32" spans="2:16" x14ac:dyDescent="0.2">
      <c r="B32" s="66"/>
      <c r="C32" s="58"/>
      <c r="D32" s="47">
        <v>3</v>
      </c>
      <c r="E32" s="41" t="s">
        <v>32</v>
      </c>
      <c r="F32" s="25"/>
      <c r="G32" s="25"/>
      <c r="H32" s="85" t="s">
        <v>19</v>
      </c>
      <c r="I32" s="68">
        <v>76</v>
      </c>
      <c r="J32" s="68">
        <f>I32*D32</f>
        <v>228</v>
      </c>
    </row>
    <row r="33" spans="1:10" x14ac:dyDescent="0.2">
      <c r="B33" s="66"/>
      <c r="C33" s="58"/>
      <c r="D33" s="47"/>
      <c r="E33" s="25"/>
      <c r="F33" s="25"/>
      <c r="G33" s="25"/>
      <c r="H33" s="39"/>
      <c r="I33" s="48"/>
      <c r="J33" s="68"/>
    </row>
    <row r="34" spans="1:10" x14ac:dyDescent="0.2">
      <c r="B34" s="66"/>
      <c r="C34" s="58"/>
      <c r="D34" s="86" t="s">
        <v>33</v>
      </c>
      <c r="E34" s="53" t="s">
        <v>34</v>
      </c>
      <c r="H34" s="54" t="s">
        <v>19</v>
      </c>
      <c r="I34" s="68">
        <v>42.55</v>
      </c>
      <c r="J34" s="68">
        <f t="shared" ref="J33:J34" si="0">I34*D34</f>
        <v>127.64999999999999</v>
      </c>
    </row>
    <row r="35" spans="1:10" x14ac:dyDescent="0.2">
      <c r="B35" s="66"/>
      <c r="C35" s="58"/>
      <c r="D35" s="84"/>
      <c r="E35" s="53"/>
      <c r="H35" s="23"/>
      <c r="I35" s="68"/>
      <c r="J35" s="68"/>
    </row>
    <row r="36" spans="1:10" x14ac:dyDescent="0.2">
      <c r="B36" s="66"/>
      <c r="C36" s="58"/>
      <c r="D36" s="86"/>
      <c r="E36" s="53"/>
      <c r="H36" s="54"/>
      <c r="I36" s="68"/>
      <c r="J36" s="68"/>
    </row>
    <row r="37" spans="1:10" x14ac:dyDescent="0.2">
      <c r="B37" s="66"/>
      <c r="C37" s="58"/>
      <c r="D37" s="84"/>
      <c r="E37" s="79"/>
      <c r="H37" s="85"/>
      <c r="I37" s="68"/>
      <c r="J37" s="68"/>
    </row>
    <row r="38" spans="1:10" x14ac:dyDescent="0.2">
      <c r="B38" s="66"/>
      <c r="C38" s="58"/>
      <c r="D38" s="82"/>
      <c r="E38" s="53" t="s">
        <v>27</v>
      </c>
      <c r="F38" s="44"/>
      <c r="H38" s="54"/>
      <c r="I38" s="68"/>
      <c r="J38" s="68">
        <v>10</v>
      </c>
    </row>
    <row r="39" spans="1:10" x14ac:dyDescent="0.2">
      <c r="B39" s="66"/>
      <c r="C39" s="58"/>
      <c r="D39" s="84"/>
      <c r="E39" s="53"/>
      <c r="H39" s="23"/>
      <c r="I39" s="68"/>
      <c r="J39" s="68"/>
    </row>
    <row r="40" spans="1:10" x14ac:dyDescent="0.2">
      <c r="B40" s="66"/>
      <c r="C40" s="58"/>
      <c r="D40" s="82"/>
      <c r="F40" s="38"/>
      <c r="G40" s="38"/>
      <c r="H40" s="54"/>
      <c r="I40" s="68"/>
      <c r="J40" s="68"/>
    </row>
    <row r="41" spans="1:10" x14ac:dyDescent="0.2">
      <c r="B41" s="66"/>
      <c r="C41" s="58"/>
      <c r="D41" s="82"/>
      <c r="E41" s="41"/>
      <c r="F41" s="38"/>
      <c r="G41" s="38"/>
      <c r="H41" s="55"/>
      <c r="I41" s="68"/>
      <c r="J41" s="68"/>
    </row>
    <row r="42" spans="1:10" x14ac:dyDescent="0.2">
      <c r="B42" s="66"/>
      <c r="C42" s="58"/>
      <c r="D42" s="82"/>
      <c r="E42" s="53"/>
      <c r="F42" s="38"/>
      <c r="G42" s="38"/>
      <c r="H42" s="54"/>
      <c r="I42" s="68"/>
      <c r="J42" s="68"/>
    </row>
    <row r="43" spans="1:10" x14ac:dyDescent="0.2">
      <c r="B43" s="66"/>
      <c r="C43" s="58"/>
      <c r="D43" s="47"/>
      <c r="E43" s="41"/>
      <c r="F43" s="38"/>
      <c r="G43" s="38"/>
      <c r="H43" s="55"/>
      <c r="I43" s="68"/>
      <c r="J43" s="68"/>
    </row>
    <row r="44" spans="1:10" x14ac:dyDescent="0.2">
      <c r="B44" s="66"/>
      <c r="C44" s="58"/>
      <c r="D44" s="47"/>
      <c r="E44" s="41"/>
      <c r="F44" s="41"/>
      <c r="G44" s="41"/>
      <c r="H44" s="54"/>
      <c r="I44" s="68"/>
      <c r="J44" s="68"/>
    </row>
    <row r="45" spans="1:10" x14ac:dyDescent="0.2">
      <c r="B45" s="66"/>
      <c r="C45" s="58"/>
      <c r="D45" s="47"/>
      <c r="E45" s="41"/>
      <c r="F45" s="41"/>
      <c r="G45" s="41"/>
      <c r="H45" s="55"/>
      <c r="I45" s="68"/>
      <c r="J45" s="68"/>
    </row>
    <row r="46" spans="1:10" x14ac:dyDescent="0.2">
      <c r="B46" s="66"/>
      <c r="C46" s="58"/>
      <c r="D46" s="47"/>
      <c r="E46" s="42"/>
      <c r="F46" s="25"/>
      <c r="G46" s="25"/>
      <c r="H46" s="56"/>
      <c r="I46" s="56"/>
      <c r="J46" s="68"/>
    </row>
    <row r="47" spans="1:10" ht="12.75" customHeight="1" x14ac:dyDescent="0.2">
      <c r="A47" s="107"/>
      <c r="B47" s="66"/>
      <c r="C47" s="58"/>
      <c r="D47" s="47"/>
      <c r="E47" s="42"/>
      <c r="F47" s="25"/>
      <c r="G47" s="25"/>
      <c r="H47" s="56"/>
      <c r="I47" s="56"/>
      <c r="J47" s="68"/>
    </row>
    <row r="48" spans="1:10" x14ac:dyDescent="0.2">
      <c r="A48" s="107"/>
      <c r="B48" s="66"/>
      <c r="C48" s="58"/>
      <c r="D48" s="47"/>
      <c r="E48" s="42"/>
      <c r="F48" s="25"/>
      <c r="G48" s="25"/>
      <c r="H48" s="56"/>
      <c r="I48" s="56"/>
      <c r="J48" s="68"/>
    </row>
    <row r="49" spans="1:10" x14ac:dyDescent="0.2">
      <c r="A49" s="107"/>
      <c r="B49" s="66"/>
      <c r="C49" s="58"/>
      <c r="D49" s="47"/>
      <c r="E49" s="42"/>
      <c r="F49" s="25"/>
      <c r="G49" s="25"/>
      <c r="H49" s="56"/>
      <c r="I49" s="56"/>
      <c r="J49" s="39"/>
    </row>
    <row r="50" spans="1:10" x14ac:dyDescent="0.2">
      <c r="A50" s="107"/>
      <c r="B50" s="66"/>
      <c r="C50" s="58"/>
      <c r="D50" s="47"/>
      <c r="E50" s="42"/>
      <c r="F50" s="25"/>
      <c r="G50" s="25"/>
      <c r="H50" s="56"/>
      <c r="I50" s="56"/>
      <c r="J50" s="48"/>
    </row>
    <row r="51" spans="1:10" x14ac:dyDescent="0.2">
      <c r="A51" s="107"/>
      <c r="B51" s="67"/>
      <c r="C51" s="103"/>
      <c r="D51" s="37"/>
      <c r="E51" s="42"/>
      <c r="F51" s="25"/>
      <c r="G51" s="25"/>
      <c r="H51" s="56"/>
      <c r="I51" s="56"/>
      <c r="J51" s="40"/>
    </row>
    <row r="52" spans="1:10" x14ac:dyDescent="0.2">
      <c r="A52" s="107"/>
      <c r="B52" s="67"/>
      <c r="D52" s="57"/>
      <c r="E52" s="42"/>
      <c r="H52" s="48"/>
      <c r="I52" s="48"/>
      <c r="J52" s="39"/>
    </row>
    <row r="53" spans="1:10" x14ac:dyDescent="0.2">
      <c r="A53" s="107"/>
      <c r="B53" s="67"/>
      <c r="D53" s="73"/>
      <c r="E53" s="42"/>
      <c r="H53" s="48"/>
      <c r="I53" s="48"/>
      <c r="J53" s="39"/>
    </row>
    <row r="54" spans="1:10" x14ac:dyDescent="0.2">
      <c r="A54" s="107"/>
      <c r="B54" s="67"/>
      <c r="D54" s="57"/>
      <c r="E54" s="42"/>
      <c r="H54" s="48"/>
      <c r="I54" s="48"/>
      <c r="J54" s="39"/>
    </row>
    <row r="55" spans="1:10" x14ac:dyDescent="0.2">
      <c r="A55" s="107"/>
      <c r="B55" s="67"/>
      <c r="D55" s="57"/>
      <c r="E55" s="42"/>
      <c r="H55" s="48"/>
      <c r="I55" s="48"/>
      <c r="J55" s="39"/>
    </row>
    <row r="56" spans="1:10" x14ac:dyDescent="0.2">
      <c r="A56" s="107"/>
      <c r="B56" s="67"/>
      <c r="C56" s="41"/>
      <c r="D56" s="43"/>
      <c r="E56" s="42"/>
      <c r="F56" s="25"/>
      <c r="G56" s="25"/>
      <c r="H56" s="56"/>
      <c r="I56" s="56"/>
      <c r="J56" s="39"/>
    </row>
    <row r="57" spans="1:10" x14ac:dyDescent="0.2">
      <c r="A57" s="107"/>
      <c r="B57" s="67"/>
      <c r="C57" s="58"/>
      <c r="D57" s="37"/>
      <c r="E57" s="42"/>
      <c r="H57" s="48"/>
      <c r="I57" s="48"/>
      <c r="J57" s="39"/>
    </row>
    <row r="58" spans="1:10" x14ac:dyDescent="0.2">
      <c r="A58" s="107"/>
      <c r="B58" s="67"/>
      <c r="C58" s="58"/>
      <c r="D58" s="37"/>
      <c r="E58" s="42"/>
      <c r="F58" s="25"/>
      <c r="G58" s="25"/>
      <c r="H58" s="56"/>
      <c r="I58" s="56"/>
      <c r="J58" s="39"/>
    </row>
    <row r="59" spans="1:10" x14ac:dyDescent="0.2">
      <c r="A59" s="107"/>
      <c r="B59" s="66"/>
      <c r="C59" s="58"/>
      <c r="D59" s="37"/>
      <c r="E59" s="42"/>
      <c r="H59" s="48"/>
      <c r="I59" s="48"/>
      <c r="J59" s="39"/>
    </row>
    <row r="60" spans="1:10" x14ac:dyDescent="0.2">
      <c r="A60" s="107"/>
      <c r="B60" s="66"/>
      <c r="C60" s="58"/>
      <c r="D60" s="37"/>
      <c r="E60" s="42"/>
      <c r="F60" s="25"/>
      <c r="G60" s="25"/>
      <c r="H60" s="56"/>
      <c r="I60" s="56"/>
      <c r="J60" s="39"/>
    </row>
    <row r="61" spans="1:10" x14ac:dyDescent="0.2">
      <c r="A61" s="107"/>
      <c r="B61" s="66"/>
      <c r="C61" s="58"/>
      <c r="D61" s="37"/>
      <c r="E61" s="42"/>
      <c r="F61" s="25"/>
      <c r="G61" s="25"/>
      <c r="H61" s="56"/>
      <c r="I61" s="56"/>
      <c r="J61" s="39"/>
    </row>
    <row r="62" spans="1:10" x14ac:dyDescent="0.2">
      <c r="A62" s="107"/>
      <c r="B62" s="66"/>
      <c r="C62" s="58"/>
      <c r="D62" s="37"/>
      <c r="E62" s="42"/>
      <c r="F62" s="25"/>
      <c r="G62" s="25"/>
      <c r="H62" s="56"/>
      <c r="I62" s="56"/>
      <c r="J62" s="39"/>
    </row>
    <row r="63" spans="1:10" x14ac:dyDescent="0.2">
      <c r="A63" s="107"/>
      <c r="B63" s="66"/>
      <c r="C63" s="58"/>
      <c r="D63" s="37"/>
      <c r="E63" s="42"/>
      <c r="F63" s="25"/>
      <c r="G63" s="25"/>
      <c r="H63" s="56"/>
      <c r="I63" s="56"/>
      <c r="J63" s="39"/>
    </row>
    <row r="64" spans="1:10" x14ac:dyDescent="0.2">
      <c r="A64" s="107"/>
      <c r="B64" s="66"/>
      <c r="C64" s="58"/>
      <c r="D64" s="37"/>
      <c r="E64" s="42"/>
      <c r="F64" s="25"/>
      <c r="G64" s="25"/>
      <c r="H64" s="56"/>
      <c r="I64" s="56"/>
      <c r="J64" s="39"/>
    </row>
    <row r="65" spans="1:10" x14ac:dyDescent="0.2">
      <c r="A65" s="107"/>
      <c r="B65" s="66"/>
      <c r="C65" s="58"/>
      <c r="D65" s="37"/>
      <c r="E65" s="42"/>
      <c r="H65" s="48"/>
      <c r="I65" s="73" t="s">
        <v>20</v>
      </c>
      <c r="J65" s="51">
        <f>SUM(J32:J64)</f>
        <v>365.65</v>
      </c>
    </row>
    <row r="66" spans="1:10" x14ac:dyDescent="0.2">
      <c r="A66" s="107"/>
      <c r="B66" s="66"/>
      <c r="C66" s="41"/>
      <c r="D66" s="52"/>
      <c r="E66" s="42"/>
      <c r="H66" s="48"/>
      <c r="I66" s="73" t="s">
        <v>25</v>
      </c>
      <c r="J66" s="68">
        <f>J65*21/100</f>
        <v>76.78649999999999</v>
      </c>
    </row>
    <row r="67" spans="1:10" x14ac:dyDescent="0.2">
      <c r="A67" s="107"/>
      <c r="B67" s="66"/>
      <c r="D67" s="37"/>
      <c r="E67" s="42"/>
      <c r="F67" s="38"/>
      <c r="G67" s="38"/>
      <c r="H67" s="55"/>
      <c r="I67" s="100" t="s">
        <v>17</v>
      </c>
      <c r="J67" s="101">
        <f>J65+J66</f>
        <v>442.43649999999997</v>
      </c>
    </row>
    <row r="68" spans="1:10" x14ac:dyDescent="0.2">
      <c r="B68" s="71"/>
      <c r="C68" s="61"/>
      <c r="D68" s="61"/>
      <c r="E68" s="61"/>
      <c r="F68" s="61"/>
      <c r="G68" s="61"/>
      <c r="H68" s="61"/>
      <c r="I68" s="61"/>
      <c r="J68" s="92"/>
    </row>
    <row r="69" spans="1:10" x14ac:dyDescent="0.2">
      <c r="B69" s="53" t="s">
        <v>21</v>
      </c>
      <c r="C69" s="14"/>
      <c r="E69" s="49" t="s">
        <v>26</v>
      </c>
      <c r="F69" s="83"/>
      <c r="G69" s="83"/>
      <c r="H69" s="114"/>
      <c r="I69" s="114"/>
      <c r="J69" s="115"/>
    </row>
    <row r="70" spans="1:10" x14ac:dyDescent="0.2">
      <c r="B70" s="53" t="s">
        <v>22</v>
      </c>
      <c r="C70" s="14"/>
      <c r="D70" s="49"/>
      <c r="E70" s="44"/>
      <c r="F70" s="22"/>
      <c r="H70" s="50"/>
      <c r="I70" s="25"/>
      <c r="J70" s="93"/>
    </row>
    <row r="71" spans="1:10" x14ac:dyDescent="0.2">
      <c r="B71" s="53" t="s">
        <v>23</v>
      </c>
      <c r="C71" s="44"/>
      <c r="E71" s="45" t="s">
        <v>24</v>
      </c>
      <c r="J71" s="90"/>
    </row>
    <row r="72" spans="1:10" x14ac:dyDescent="0.2">
      <c r="B72" s="74"/>
      <c r="C72" s="63"/>
      <c r="D72" s="63"/>
      <c r="E72" s="63"/>
      <c r="F72" s="63"/>
      <c r="G72" s="63"/>
      <c r="H72" s="75"/>
      <c r="I72" s="75"/>
      <c r="J72" s="94"/>
    </row>
    <row r="73" spans="1:10" x14ac:dyDescent="0.2">
      <c r="H73" s="5"/>
      <c r="I73" s="5"/>
    </row>
    <row r="74" spans="1:10" x14ac:dyDescent="0.2">
      <c r="H74" s="5"/>
      <c r="I74" s="5"/>
    </row>
    <row r="75" spans="1:10" ht="15.75" customHeight="1" x14ac:dyDescent="0.2">
      <c r="H75" s="5"/>
      <c r="I75" s="5"/>
    </row>
    <row r="76" spans="1:10" ht="9" customHeight="1" x14ac:dyDescent="0.2"/>
    <row r="77" spans="1:10" ht="11.25" customHeight="1" x14ac:dyDescent="0.2">
      <c r="B77" s="108"/>
      <c r="C77" s="108"/>
      <c r="D77" s="108"/>
      <c r="E77" s="110"/>
      <c r="F77" s="3"/>
      <c r="G77" s="25"/>
      <c r="H77" s="3"/>
      <c r="I77" s="3"/>
      <c r="J77" s="3"/>
    </row>
    <row r="78" spans="1:10" ht="19.5" customHeight="1" x14ac:dyDescent="0.2">
      <c r="B78" s="109"/>
      <c r="C78" s="109"/>
      <c r="D78" s="9"/>
      <c r="E78" s="7"/>
      <c r="F78" s="22"/>
      <c r="G78" s="25"/>
      <c r="H78" s="22"/>
      <c r="I78" s="22"/>
      <c r="J78" s="26"/>
    </row>
    <row r="79" spans="1:10" ht="15.75" customHeight="1" x14ac:dyDescent="0.2">
      <c r="J79" s="27"/>
    </row>
    <row r="80" spans="1:10" x14ac:dyDescent="0.2">
      <c r="B80" s="14"/>
      <c r="D80" s="2"/>
    </row>
    <row r="81" spans="2:7" x14ac:dyDescent="0.2">
      <c r="B81" s="14"/>
      <c r="D81" s="8"/>
      <c r="E81" s="14"/>
      <c r="F81" s="14"/>
      <c r="G81" s="14"/>
    </row>
  </sheetData>
  <mergeCells count="9">
    <mergeCell ref="F6:J6"/>
    <mergeCell ref="A47:A67"/>
    <mergeCell ref="B77:C77"/>
    <mergeCell ref="B78:C78"/>
    <mergeCell ref="D77:E77"/>
    <mergeCell ref="C29:C30"/>
    <mergeCell ref="H26:I26"/>
    <mergeCell ref="E29:G30"/>
    <mergeCell ref="H69:J69"/>
  </mergeCells>
  <phoneticPr fontId="0" type="noConversion"/>
  <hyperlinks>
    <hyperlink ref="D21" r:id="rId1" xr:uid="{3ECEBD11-8013-4926-A488-DA2E6F39E625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4"/>
      <c r="G28" s="11"/>
      <c r="H28" s="10"/>
    </row>
    <row r="29" spans="1:8" x14ac:dyDescent="0.2">
      <c r="A29" s="5"/>
      <c r="B29" s="44"/>
      <c r="G29" s="6"/>
      <c r="H29" s="10"/>
    </row>
    <row r="30" spans="1:8" x14ac:dyDescent="0.2">
      <c r="A30" s="5"/>
      <c r="B30" s="44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2025-09-30T13:46:10Z</cp:lastPrinted>
  <dcterms:created xsi:type="dcterms:W3CDTF">2002-02-20T10:44:50Z</dcterms:created>
  <dcterms:modified xsi:type="dcterms:W3CDTF">2026-02-26T10:55:52Z</dcterms:modified>
  <cp:category/>
  <cp:contentStatus/>
</cp:coreProperties>
</file>